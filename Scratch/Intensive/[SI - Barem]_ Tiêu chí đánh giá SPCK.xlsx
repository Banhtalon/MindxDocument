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xr:revisionPtr revIDLastSave="108" documentId="11_97515013DF740BC786648A351DBCD505DB917222" xr6:coauthVersionLast="47" xr6:coauthVersionMax="47" xr10:uidLastSave="{8BE3FD12-CAEE-44F2-A91E-D32A7CC162E8}"/>
  <bookViews>
    <workbookView xWindow="0" yWindow="0" windowWidth="0" windowHeight="0" xr2:uid="{00000000-000D-0000-FFFF-FFFF00000000}"/>
  </bookViews>
  <sheets>
    <sheet name="Barem" sheetId="2" r:id="rId1"/>
    <sheet name="Phân bổ điểm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/IqoDz4imCZGMQuWjj1pxK28NJg0rAeSy1OyXbBHSAE="/>
    </ext>
  </extLst>
</workbook>
</file>

<file path=xl/calcChain.xml><?xml version="1.0" encoding="utf-8"?>
<calcChain xmlns="http://schemas.openxmlformats.org/spreadsheetml/2006/main">
  <c r="E27" i="2" l="1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C6" i="3"/>
  <c r="C5" i="3"/>
  <c r="C4" i="3"/>
  <c r="C3" i="3"/>
  <c r="C2" i="3"/>
  <c r="F8" i="2"/>
  <c r="B5" i="2" s="1"/>
</calcChain>
</file>

<file path=xl/sharedStrings.xml><?xml version="1.0" encoding="utf-8"?>
<sst xmlns="http://schemas.openxmlformats.org/spreadsheetml/2006/main" count="69" uniqueCount="50">
  <si>
    <t>Bảng chấm điểm buổi demo Scratch Creator - Intensive</t>
  </si>
  <si>
    <t>Họ và tên Học viên:</t>
  </si>
  <si>
    <t>Nguyễn Văn A</t>
  </si>
  <si>
    <t>Ngày Demo:</t>
  </si>
  <si>
    <t>Ngày đánh giá:</t>
  </si>
  <si>
    <t>Tổng điểm đạt được:</t>
  </si>
  <si>
    <t>Tiêu chí đầu ra</t>
  </si>
  <si>
    <t>Nội dung</t>
  </si>
  <si>
    <t>Điểm tối đa</t>
  </si>
  <si>
    <t>Mức độ đạt được</t>
  </si>
  <si>
    <t>Điểm đạt được</t>
  </si>
  <si>
    <t>Tổng Điểm</t>
  </si>
  <si>
    <t>(Chưa đạt - Hoàn thành - Tốt)</t>
  </si>
  <si>
    <r>
      <rPr>
        <b/>
        <sz val="10"/>
        <color rgb="FF000000"/>
        <rFont val="Exo"/>
      </rPr>
      <t xml:space="preserve">Tư duy máy tính, tư duy thuật toán
</t>
    </r>
    <r>
      <rPr>
        <sz val="10"/>
        <color rgb="FF000000"/>
        <rFont val="Exo"/>
      </rPr>
      <t>(2,5 điểm)</t>
    </r>
  </si>
  <si>
    <t>Có hệ thống tính điểm, tính thành tích hợp lý</t>
  </si>
  <si>
    <t>Tốt</t>
  </si>
  <si>
    <t>Tối ưu cơ chế phát tin - nhận tin, hạn chế tin nhắn thừa và tin nhắn trùng lặp</t>
  </si>
  <si>
    <t>Tối ưu các nhân vật có cùng chức năng bằng cơ chế tạo bản sao</t>
  </si>
  <si>
    <t>Tối ưu các thẻ lệnh trùng lặp bằng My Blocks</t>
  </si>
  <si>
    <t>Có chức năng lưu lại điểm số của các lần chơi bằng List</t>
  </si>
  <si>
    <t>Có sử dụng công cụ Text to Speech trong dự án</t>
  </si>
  <si>
    <t>Có hiệu ứng bắt đầu và hiệu ứng kết thúc trò chơi</t>
  </si>
  <si>
    <t>Giao diện intro chi tiết (Giao diện bắt đầu, guide, setting, ...)</t>
  </si>
  <si>
    <t>Giao diện outtro phù hợp (Background thua, hiển thị điểm số, bảng điểm, ...)</t>
  </si>
  <si>
    <t>Dự án hoàn thiện, không phát sinh lỗi lập trình</t>
  </si>
  <si>
    <r>
      <rPr>
        <b/>
        <sz val="10"/>
        <color rgb="FF000000"/>
        <rFont val="Exo"/>
      </rPr>
      <t xml:space="preserve">Tư duy sáng tạo
</t>
    </r>
    <r>
      <rPr>
        <sz val="10"/>
        <color rgb="FF000000"/>
        <rFont val="Exo"/>
      </rPr>
      <t xml:space="preserve">(0,5 điểm)
</t>
    </r>
  </si>
  <si>
    <t>Ý tưởng có giá trị thực tế, mang thông điệp ý nghĩa trong cuộc sống</t>
  </si>
  <si>
    <t>Có thêm tính năng tự sáng tạo (Nhiều màn chơi, lối chơi, cơ chế điểm, ...)</t>
  </si>
  <si>
    <r>
      <rPr>
        <b/>
        <sz val="10"/>
        <color rgb="FF000000"/>
        <rFont val="Exo"/>
      </rPr>
      <t xml:space="preserve">Kỹ năng giao tiếp, hợp tác
</t>
    </r>
    <r>
      <rPr>
        <sz val="10"/>
        <color rgb="FF000000"/>
        <rFont val="Exo"/>
      </rPr>
      <t>(0,5 điểm)</t>
    </r>
  </si>
  <si>
    <t>Tự tin trình bày dự án rõ ràng, mạch lạc, có tương tác với các bạn khác</t>
  </si>
  <si>
    <t>Có thái độ tốt và đánh giá được sản phẩm sau khi nhận góp ý từ BGK</t>
  </si>
  <si>
    <r>
      <rPr>
        <b/>
        <sz val="10"/>
        <color rgb="FF000000"/>
        <rFont val="Exo"/>
      </rPr>
      <t xml:space="preserve">Giải quyết vấn đề
</t>
    </r>
    <r>
      <rPr>
        <sz val="10"/>
        <color rgb="FF000000"/>
        <rFont val="Exo"/>
      </rPr>
      <t>(0,5 điểm)</t>
    </r>
  </si>
  <si>
    <t>Trả lời được các vấn đề mà BGK đặt ra về cách lập trình dự án</t>
  </si>
  <si>
    <t>Trình bày được tính ứng dụng thực tế của dự án</t>
  </si>
  <si>
    <r>
      <rPr>
        <b/>
        <sz val="10"/>
        <color rgb="FF000000"/>
        <rFont val="Exo"/>
      </rPr>
      <t xml:space="preserve">Kỹ năng sử dụng máy tính
</t>
    </r>
    <r>
      <rPr>
        <sz val="10"/>
        <color rgb="FF000000"/>
        <rFont val="Exo"/>
      </rPr>
      <t>(1,0 điểm)</t>
    </r>
  </si>
  <si>
    <t>Thiết kế bài trình chiếu có hiệu ứng sinh động, không có lỗi định dạng</t>
  </si>
  <si>
    <t>Hình ảnh trong dự án sinh động, không gặp vấn đề về thiết kế/hiệu ứng</t>
  </si>
  <si>
    <t>Dự án có sử dụng các hình ảnh được tạo ra từ AI</t>
  </si>
  <si>
    <t>Có ứng dụng model AI được tạo ra từ Teachable Machine trong dự án</t>
  </si>
  <si>
    <t>Nhận xét</t>
  </si>
  <si>
    <t>BGK1</t>
  </si>
  <si>
    <t>BGK2</t>
  </si>
  <si>
    <t>LOs</t>
  </si>
  <si>
    <t>Tổng điểm</t>
  </si>
  <si>
    <t>Tỉ trọng</t>
  </si>
  <si>
    <t>Tư duy thuật toán, tư duy máy tính</t>
  </si>
  <si>
    <t>Kỹ năng sử dụng máy tính</t>
  </si>
  <si>
    <t>Tư duy sáng tạo</t>
  </si>
  <si>
    <t>Giải quyết vấn đề</t>
  </si>
  <si>
    <t>Thể hiện khả năng giao tiếp, hợp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</si>
</sst>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.000"/>
    <numFmt numFmtId="166" formatCode="0.000"/>
  </numFmts>
  <fonts count="21">
    <font>
      <sz val="10"/>
      <color rgb="FF000000"/>
      <name val="Arial"/>
      <scheme val="minor"/>
    </font>
    <font>
      <sz val="10"/>
      <color theme="1"/>
      <name val="Exo"/>
    </font>
    <font>
      <b/>
      <sz val="12"/>
      <color rgb="FFFFFFFF"/>
      <name val="Exo"/>
    </font>
    <font>
      <sz val="10"/>
      <name val="Arial"/>
    </font>
    <font>
      <sz val="10"/>
      <color rgb="FF000000"/>
      <name val="Exo"/>
    </font>
    <font>
      <b/>
      <sz val="20"/>
      <color rgb="FF000000"/>
      <name val="Exo"/>
    </font>
    <font>
      <b/>
      <sz val="13"/>
      <color rgb="FFFFFFFF"/>
      <name val="Exo"/>
    </font>
    <font>
      <b/>
      <sz val="13"/>
      <color rgb="FFCC0000"/>
      <name val="Exo"/>
    </font>
    <font>
      <b/>
      <sz val="10"/>
      <color theme="1"/>
      <name val="Exo"/>
    </font>
    <font>
      <b/>
      <sz val="10"/>
      <color rgb="FF000000"/>
      <name val="Exo"/>
    </font>
    <font>
      <b/>
      <sz val="26"/>
      <color rgb="FFCC0000"/>
      <name val="Exo"/>
    </font>
    <font>
      <b/>
      <sz val="11"/>
      <color rgb="FFCC0000"/>
      <name val="Exo"/>
    </font>
    <font>
      <sz val="11"/>
      <color theme="1"/>
      <name val="Exo"/>
    </font>
    <font>
      <b/>
      <sz val="11"/>
      <color rgb="FF000000"/>
      <name val="Exo"/>
    </font>
    <font>
      <sz val="10"/>
      <color theme="1"/>
      <name val="Arial"/>
      <scheme val="minor"/>
    </font>
    <font>
      <b/>
      <sz val="13"/>
      <color theme="1"/>
      <name val="Exo"/>
    </font>
    <font>
      <b/>
      <sz val="20"/>
      <color theme="1"/>
      <name val="Exo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rgb="FFFFFFFF"/>
      <name val="Aptos Narrow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CC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65" fontId="12" fillId="2" borderId="0" xfId="0" applyNumberFormat="1" applyFont="1" applyFill="1" applyAlignment="1">
      <alignment horizontal="left" vertical="center"/>
    </xf>
    <xf numFmtId="164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5" fontId="13" fillId="2" borderId="0" xfId="0" applyNumberFormat="1" applyFont="1" applyFill="1" applyAlignment="1">
      <alignment horizontal="left" vertical="center"/>
    </xf>
    <xf numFmtId="0" fontId="14" fillId="0" borderId="8" xfId="0" applyFont="1" applyBorder="1"/>
    <xf numFmtId="4" fontId="1" fillId="0" borderId="8" xfId="0" applyNumberFormat="1" applyFont="1" applyBorder="1" applyAlignment="1">
      <alignment horizontal="center" vertical="center"/>
    </xf>
    <xf numFmtId="2" fontId="16" fillId="0" borderId="8" xfId="0" applyNumberFormat="1" applyFont="1" applyBorder="1" applyAlignment="1">
      <alignment horizontal="center" vertical="center"/>
    </xf>
    <xf numFmtId="4" fontId="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17" fillId="2" borderId="2" xfId="0" applyFont="1" applyFill="1" applyBorder="1"/>
    <xf numFmtId="0" fontId="14" fillId="0" borderId="0" xfId="0" applyFont="1" applyAlignment="1">
      <alignment wrapText="1"/>
    </xf>
    <xf numFmtId="165" fontId="9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4" fillId="0" borderId="1" xfId="0" applyFont="1" applyBorder="1" applyAlignment="1">
      <alignment vertical="center"/>
    </xf>
    <xf numFmtId="9" fontId="14" fillId="0" borderId="4" xfId="0" applyNumberFormat="1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9" fontId="14" fillId="0" borderId="1" xfId="0" applyNumberFormat="1" applyFont="1" applyBorder="1" applyAlignment="1">
      <alignment vertical="center"/>
    </xf>
    <xf numFmtId="4" fontId="8" fillId="0" borderId="8" xfId="0" applyNumberFormat="1" applyFont="1" applyBorder="1" applyAlignment="1">
      <alignment horizontal="center" vertical="center"/>
    </xf>
    <xf numFmtId="3" fontId="2" fillId="3" borderId="5" xfId="0" applyNumberFormat="1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/>
    </xf>
    <xf numFmtId="165" fontId="8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4" fontId="4" fillId="0" borderId="4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readingOrder="1"/>
    </xf>
    <xf numFmtId="4" fontId="20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 wrapText="1"/>
    </xf>
    <xf numFmtId="164" fontId="12" fillId="2" borderId="0" xfId="0" applyNumberFormat="1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wrapText="1"/>
    </xf>
    <xf numFmtId="4" fontId="2" fillId="3" borderId="4" xfId="0" applyNumberFormat="1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0" fontId="0" fillId="0" borderId="0" xfId="0" applyAlignment="1"/>
    <xf numFmtId="0" fontId="3" fillId="0" borderId="10" xfId="0" applyFont="1" applyBorder="1" applyAlignment="1"/>
    <xf numFmtId="0" fontId="3" fillId="0" borderId="9" xfId="0" applyFont="1" applyBorder="1" applyAlignment="1"/>
    <xf numFmtId="0" fontId="3" fillId="0" borderId="11" xfId="0" applyFont="1" applyBorder="1" applyAlignment="1"/>
    <xf numFmtId="0" fontId="3" fillId="0" borderId="7" xfId="0" applyFont="1" applyBorder="1" applyAlignment="1"/>
    <xf numFmtId="0" fontId="3" fillId="0" borderId="6" xfId="0" applyFont="1" applyBorder="1" applyAlignment="1"/>
    <xf numFmtId="0" fontId="3" fillId="0" borderId="8" xfId="0" applyFont="1" applyBorder="1" applyAlignment="1"/>
    <xf numFmtId="0" fontId="3" fillId="0" borderId="3" xfId="0" applyFont="1" applyBorder="1" applyAlignment="1"/>
    <xf numFmtId="0" fontId="17" fillId="2" borderId="2" xfId="0" applyFont="1" applyFill="1" applyBorder="1" applyAlignment="1"/>
    <xf numFmtId="0" fontId="17" fillId="0" borderId="7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61"/>
  <sheetViews>
    <sheetView tabSelected="1" topLeftCell="A6" workbookViewId="0">
      <selection activeCell="B26" sqref="B26"/>
    </sheetView>
  </sheetViews>
  <sheetFormatPr defaultColWidth="12.5703125" defaultRowHeight="15" customHeight="1"/>
  <cols>
    <col min="1" max="1" width="22.28515625" customWidth="1"/>
    <col min="2" max="2" width="61.140625" customWidth="1"/>
    <col min="3" max="3" width="9.85546875" customWidth="1"/>
    <col min="4" max="4" width="23.28515625" bestFit="1" customWidth="1"/>
    <col min="5" max="5" width="13" customWidth="1"/>
    <col min="6" max="6" width="13.28515625" customWidth="1"/>
    <col min="7" max="8" width="8.7109375" customWidth="1"/>
    <col min="9" max="9" width="12.5703125" customWidth="1"/>
  </cols>
  <sheetData>
    <row r="1" spans="1:9" ht="42" customHeight="1">
      <c r="A1" s="38" t="s">
        <v>0</v>
      </c>
      <c r="B1" s="38"/>
      <c r="C1" s="38"/>
      <c r="D1" s="38"/>
      <c r="E1" s="38"/>
      <c r="F1" s="38"/>
    </row>
    <row r="2" spans="1:9" ht="26.25" customHeight="1">
      <c r="A2" s="1" t="s">
        <v>1</v>
      </c>
      <c r="B2" s="34" t="s">
        <v>2</v>
      </c>
      <c r="C2" s="47"/>
      <c r="D2" s="2"/>
      <c r="E2" s="3"/>
      <c r="F2" s="2"/>
      <c r="G2" s="2"/>
      <c r="H2" s="2"/>
      <c r="I2" s="2"/>
    </row>
    <row r="3" spans="1:9" ht="26.25" customHeight="1">
      <c r="A3" s="1" t="s">
        <v>3</v>
      </c>
      <c r="B3" s="35">
        <v>45414</v>
      </c>
      <c r="C3" s="47"/>
      <c r="D3" s="4"/>
      <c r="E3" s="3"/>
      <c r="F3" s="4"/>
      <c r="G3" s="4"/>
      <c r="H3" s="4"/>
      <c r="I3" s="4"/>
    </row>
    <row r="4" spans="1:9" ht="26.25" customHeight="1">
      <c r="A4" s="1" t="s">
        <v>4</v>
      </c>
      <c r="B4" s="35">
        <v>45421</v>
      </c>
      <c r="C4" s="47"/>
      <c r="D4" s="4"/>
      <c r="E4" s="3"/>
      <c r="F4" s="4"/>
      <c r="G4" s="4"/>
      <c r="H4" s="4"/>
      <c r="I4" s="4"/>
    </row>
    <row r="5" spans="1:9" ht="26.25" customHeight="1">
      <c r="A5" s="1" t="s">
        <v>5</v>
      </c>
      <c r="B5" s="36" t="str">
        <f>ROUND(F8,2) &amp;" / 5"</f>
        <v>5 / 5</v>
      </c>
      <c r="C5" s="47"/>
      <c r="D5" s="5"/>
      <c r="E5" s="6"/>
      <c r="F5" s="5"/>
      <c r="G5" s="5"/>
      <c r="H5" s="5"/>
      <c r="I5" s="5"/>
    </row>
    <row r="6" spans="1:9" ht="36" customHeight="1">
      <c r="A6" s="43" t="s">
        <v>6</v>
      </c>
      <c r="B6" s="43" t="s">
        <v>7</v>
      </c>
      <c r="C6" s="41" t="s">
        <v>8</v>
      </c>
      <c r="D6" s="23" t="s">
        <v>9</v>
      </c>
      <c r="E6" s="42" t="s">
        <v>10</v>
      </c>
      <c r="F6" s="45" t="s">
        <v>11</v>
      </c>
    </row>
    <row r="7" spans="1:9" ht="25.5" customHeight="1">
      <c r="A7" s="48"/>
      <c r="B7" s="48"/>
      <c r="C7" s="49"/>
      <c r="D7" s="31" t="s">
        <v>12</v>
      </c>
      <c r="E7" s="50"/>
      <c r="F7" s="48"/>
    </row>
    <row r="8" spans="1:9" ht="24" customHeight="1">
      <c r="A8" s="44" t="s">
        <v>13</v>
      </c>
      <c r="B8" s="26" t="s">
        <v>14</v>
      </c>
      <c r="C8" s="27">
        <v>0.25</v>
      </c>
      <c r="D8" s="32" t="s">
        <v>15</v>
      </c>
      <c r="E8" s="33">
        <f>IF(D8="Chưa đạt", 0, IF(D8="Hoàn thành", C8/2, C8))</f>
        <v>0.25</v>
      </c>
      <c r="F8" s="46">
        <f>SUM(E8:E61)</f>
        <v>5</v>
      </c>
    </row>
    <row r="9" spans="1:9" ht="24" customHeight="1">
      <c r="A9" s="51"/>
      <c r="B9" s="26" t="s">
        <v>16</v>
      </c>
      <c r="C9" s="27">
        <v>0.25</v>
      </c>
      <c r="D9" s="32" t="s">
        <v>15</v>
      </c>
      <c r="E9" s="33">
        <f t="shared" ref="E9:E27" si="0">IF(D9="Chưa đạt", 0, IF(D9="Hoàn thành", C9/2, C9))</f>
        <v>0.25</v>
      </c>
      <c r="F9" s="52"/>
    </row>
    <row r="10" spans="1:9" ht="24" customHeight="1">
      <c r="A10" s="51"/>
      <c r="B10" s="26" t="s">
        <v>17</v>
      </c>
      <c r="C10" s="27">
        <v>0.25</v>
      </c>
      <c r="D10" s="32" t="s">
        <v>15</v>
      </c>
      <c r="E10" s="33">
        <f t="shared" si="0"/>
        <v>0.25</v>
      </c>
      <c r="F10" s="52"/>
    </row>
    <row r="11" spans="1:9" ht="24" customHeight="1">
      <c r="A11" s="51"/>
      <c r="B11" s="26" t="s">
        <v>18</v>
      </c>
      <c r="C11" s="27">
        <v>0.25</v>
      </c>
      <c r="D11" s="32" t="s">
        <v>15</v>
      </c>
      <c r="E11" s="33">
        <f t="shared" si="0"/>
        <v>0.25</v>
      </c>
      <c r="F11" s="52"/>
    </row>
    <row r="12" spans="1:9" ht="24" customHeight="1">
      <c r="A12" s="51"/>
      <c r="B12" s="26" t="s">
        <v>19</v>
      </c>
      <c r="C12" s="27">
        <v>0.25</v>
      </c>
      <c r="D12" s="32" t="s">
        <v>15</v>
      </c>
      <c r="E12" s="33">
        <f t="shared" si="0"/>
        <v>0.25</v>
      </c>
      <c r="F12" s="52"/>
    </row>
    <row r="13" spans="1:9" ht="24" customHeight="1">
      <c r="A13" s="51"/>
      <c r="B13" s="26" t="s">
        <v>20</v>
      </c>
      <c r="C13" s="27">
        <v>0.25</v>
      </c>
      <c r="D13" s="32" t="s">
        <v>15</v>
      </c>
      <c r="E13" s="33">
        <f t="shared" si="0"/>
        <v>0.25</v>
      </c>
      <c r="F13" s="52"/>
    </row>
    <row r="14" spans="1:9" ht="24" customHeight="1">
      <c r="A14" s="51"/>
      <c r="B14" s="26" t="s">
        <v>21</v>
      </c>
      <c r="C14" s="27">
        <v>0.25</v>
      </c>
      <c r="D14" s="32" t="s">
        <v>15</v>
      </c>
      <c r="E14" s="33">
        <f t="shared" si="0"/>
        <v>0.25</v>
      </c>
      <c r="F14" s="52"/>
    </row>
    <row r="15" spans="1:9" ht="24" customHeight="1">
      <c r="A15" s="51"/>
      <c r="B15" s="26" t="s">
        <v>22</v>
      </c>
      <c r="C15" s="27">
        <v>0.25</v>
      </c>
      <c r="D15" s="32" t="s">
        <v>15</v>
      </c>
      <c r="E15" s="33">
        <f t="shared" si="0"/>
        <v>0.25</v>
      </c>
      <c r="F15" s="52"/>
    </row>
    <row r="16" spans="1:9" ht="24" customHeight="1">
      <c r="A16" s="51"/>
      <c r="B16" s="26" t="s">
        <v>23</v>
      </c>
      <c r="C16" s="27">
        <v>0.25</v>
      </c>
      <c r="D16" s="32" t="s">
        <v>15</v>
      </c>
      <c r="E16" s="33">
        <f t="shared" si="0"/>
        <v>0.25</v>
      </c>
      <c r="F16" s="52"/>
    </row>
    <row r="17" spans="1:9" ht="24" customHeight="1">
      <c r="A17" s="49"/>
      <c r="B17" s="26" t="s">
        <v>24</v>
      </c>
      <c r="C17" s="27">
        <v>0.25</v>
      </c>
      <c r="D17" s="32" t="s">
        <v>15</v>
      </c>
      <c r="E17" s="33">
        <f t="shared" si="0"/>
        <v>0.25</v>
      </c>
      <c r="F17" s="52"/>
    </row>
    <row r="18" spans="1:9" ht="24" customHeight="1">
      <c r="A18" s="37" t="s">
        <v>25</v>
      </c>
      <c r="B18" s="28" t="s">
        <v>26</v>
      </c>
      <c r="C18" s="27">
        <v>0.25</v>
      </c>
      <c r="D18" s="32" t="s">
        <v>15</v>
      </c>
      <c r="E18" s="33">
        <f t="shared" si="0"/>
        <v>0.25</v>
      </c>
      <c r="F18" s="52"/>
    </row>
    <row r="19" spans="1:9" ht="24" customHeight="1">
      <c r="A19" s="48"/>
      <c r="B19" s="26" t="s">
        <v>27</v>
      </c>
      <c r="C19" s="27">
        <v>0.25</v>
      </c>
      <c r="D19" s="32" t="s">
        <v>15</v>
      </c>
      <c r="E19" s="33">
        <f t="shared" si="0"/>
        <v>0.25</v>
      </c>
      <c r="F19" s="52"/>
    </row>
    <row r="20" spans="1:9" ht="21.75" customHeight="1">
      <c r="A20" s="37" t="s">
        <v>28</v>
      </c>
      <c r="B20" s="26" t="s">
        <v>29</v>
      </c>
      <c r="C20" s="27">
        <v>0.25</v>
      </c>
      <c r="D20" s="32" t="s">
        <v>15</v>
      </c>
      <c r="E20" s="33">
        <f t="shared" si="0"/>
        <v>0.25</v>
      </c>
      <c r="F20" s="52"/>
    </row>
    <row r="21" spans="1:9" ht="21.75" customHeight="1">
      <c r="A21" s="48"/>
      <c r="B21" s="26" t="s">
        <v>30</v>
      </c>
      <c r="C21" s="27">
        <v>0.25</v>
      </c>
      <c r="D21" s="32" t="s">
        <v>15</v>
      </c>
      <c r="E21" s="33">
        <f t="shared" si="0"/>
        <v>0.25</v>
      </c>
      <c r="F21" s="52"/>
    </row>
    <row r="22" spans="1:9" ht="21.75" customHeight="1">
      <c r="A22" s="37" t="s">
        <v>31</v>
      </c>
      <c r="B22" s="26" t="s">
        <v>32</v>
      </c>
      <c r="C22" s="27">
        <v>0.25</v>
      </c>
      <c r="D22" s="32" t="s">
        <v>15</v>
      </c>
      <c r="E22" s="33">
        <f t="shared" si="0"/>
        <v>0.25</v>
      </c>
      <c r="F22" s="52"/>
    </row>
    <row r="23" spans="1:9" ht="21.75" customHeight="1">
      <c r="A23" s="48"/>
      <c r="B23" s="26" t="s">
        <v>33</v>
      </c>
      <c r="C23" s="27">
        <v>0.25</v>
      </c>
      <c r="D23" s="32" t="s">
        <v>15</v>
      </c>
      <c r="E23" s="33">
        <f t="shared" si="0"/>
        <v>0.25</v>
      </c>
      <c r="F23" s="52"/>
    </row>
    <row r="24" spans="1:9" ht="21.75" customHeight="1">
      <c r="A24" s="37" t="s">
        <v>34</v>
      </c>
      <c r="B24" s="26" t="s">
        <v>35</v>
      </c>
      <c r="C24" s="27">
        <v>0.25</v>
      </c>
      <c r="D24" s="32" t="s">
        <v>15</v>
      </c>
      <c r="E24" s="33">
        <f t="shared" si="0"/>
        <v>0.25</v>
      </c>
      <c r="F24" s="52"/>
    </row>
    <row r="25" spans="1:9" ht="21.75" customHeight="1">
      <c r="A25" s="52"/>
      <c r="B25" s="26" t="s">
        <v>36</v>
      </c>
      <c r="C25" s="27">
        <v>0.25</v>
      </c>
      <c r="D25" s="32" t="s">
        <v>15</v>
      </c>
      <c r="E25" s="33">
        <f t="shared" si="0"/>
        <v>0.25</v>
      </c>
      <c r="F25" s="52"/>
    </row>
    <row r="26" spans="1:9" ht="21.75" customHeight="1">
      <c r="A26" s="52"/>
      <c r="B26" s="26" t="s">
        <v>37</v>
      </c>
      <c r="C26" s="27">
        <v>0.25</v>
      </c>
      <c r="D26" s="32" t="s">
        <v>15</v>
      </c>
      <c r="E26" s="33">
        <f t="shared" si="0"/>
        <v>0.25</v>
      </c>
      <c r="F26" s="52"/>
    </row>
    <row r="27" spans="1:9" ht="21.75" customHeight="1">
      <c r="A27" s="48"/>
      <c r="B27" s="29" t="s">
        <v>38</v>
      </c>
      <c r="C27" s="30">
        <v>0.25</v>
      </c>
      <c r="D27" s="32" t="s">
        <v>15</v>
      </c>
      <c r="E27" s="33">
        <f t="shared" si="0"/>
        <v>0.25</v>
      </c>
      <c r="F27" s="48"/>
    </row>
    <row r="28" spans="1:9" ht="21.75" customHeight="1">
      <c r="A28" s="7"/>
      <c r="B28" s="24"/>
      <c r="C28" s="24"/>
      <c r="D28" s="24"/>
      <c r="E28" s="25"/>
      <c r="F28" s="22"/>
      <c r="G28" s="8"/>
      <c r="H28" s="8"/>
      <c r="I28" s="9"/>
    </row>
    <row r="29" spans="1:9" ht="21.75" customHeight="1">
      <c r="B29" s="39" t="s">
        <v>39</v>
      </c>
      <c r="C29" s="53"/>
      <c r="D29" s="53"/>
      <c r="E29" s="54"/>
      <c r="F29" s="10"/>
      <c r="G29" s="11"/>
      <c r="H29" s="11"/>
      <c r="I29" s="12"/>
    </row>
    <row r="30" spans="1:9" ht="21.75" customHeight="1">
      <c r="B30" s="13" t="s">
        <v>40</v>
      </c>
      <c r="C30" s="40" t="s">
        <v>41</v>
      </c>
      <c r="D30" s="53"/>
      <c r="E30" s="54"/>
      <c r="F30" s="10"/>
      <c r="G30" s="11"/>
      <c r="H30" s="11"/>
      <c r="I30" s="12"/>
    </row>
    <row r="31" spans="1:9" ht="88.5" customHeight="1">
      <c r="B31" s="14"/>
      <c r="C31" s="55"/>
      <c r="D31" s="53"/>
      <c r="E31" s="54"/>
      <c r="F31" s="10"/>
      <c r="G31" s="11"/>
      <c r="H31" s="11"/>
      <c r="I31" s="12"/>
    </row>
    <row r="32" spans="1:9" ht="21.75" customHeight="1">
      <c r="B32" s="15"/>
      <c r="E32" s="16"/>
      <c r="F32" s="10"/>
      <c r="G32" s="11"/>
      <c r="H32" s="11"/>
      <c r="I32" s="12"/>
    </row>
    <row r="33" spans="1:9" ht="21.75" customHeight="1">
      <c r="B33" s="15"/>
      <c r="E33" s="16"/>
      <c r="F33" s="10"/>
      <c r="G33" s="11"/>
      <c r="H33" s="11"/>
      <c r="I33" s="12"/>
    </row>
    <row r="34" spans="1:9" ht="21.75" customHeight="1">
      <c r="B34" s="15"/>
      <c r="E34" s="16"/>
      <c r="F34" s="10"/>
      <c r="G34" s="11"/>
      <c r="H34" s="11"/>
      <c r="I34" s="12"/>
    </row>
    <row r="35" spans="1:9" ht="21.75" customHeight="1">
      <c r="B35" s="15"/>
      <c r="E35" s="16"/>
      <c r="F35" s="10"/>
      <c r="G35" s="11"/>
      <c r="H35" s="11"/>
      <c r="I35" s="12"/>
    </row>
    <row r="36" spans="1:9" ht="21.75" customHeight="1">
      <c r="B36" s="15"/>
      <c r="E36" s="16"/>
      <c r="F36" s="10"/>
      <c r="G36" s="11"/>
      <c r="H36" s="11"/>
      <c r="I36" s="12"/>
    </row>
    <row r="37" spans="1:9" ht="21.75" customHeight="1">
      <c r="B37" s="15"/>
      <c r="E37" s="16"/>
      <c r="F37" s="10"/>
      <c r="G37" s="11"/>
      <c r="H37" s="11"/>
      <c r="I37" s="12"/>
    </row>
    <row r="38" spans="1:9" ht="21.75" customHeight="1">
      <c r="B38" s="15"/>
      <c r="E38" s="16"/>
      <c r="F38" s="10"/>
      <c r="G38" s="11"/>
      <c r="H38" s="11"/>
      <c r="I38" s="12"/>
    </row>
    <row r="39" spans="1:9" ht="21.75" customHeight="1">
      <c r="B39" s="15"/>
      <c r="E39" s="16"/>
      <c r="F39" s="10"/>
      <c r="G39" s="11"/>
      <c r="H39" s="11"/>
      <c r="I39" s="12"/>
    </row>
    <row r="40" spans="1:9" ht="21.75" customHeight="1">
      <c r="A40" s="56"/>
      <c r="B40" s="47"/>
      <c r="C40" s="47"/>
      <c r="D40" s="47"/>
      <c r="E40" s="16"/>
      <c r="F40" s="10"/>
      <c r="G40" s="11"/>
      <c r="H40" s="11"/>
      <c r="I40" s="12"/>
    </row>
    <row r="41" spans="1:9" ht="21.75" customHeight="1">
      <c r="A41" s="51"/>
      <c r="B41" s="47"/>
      <c r="C41" s="47"/>
      <c r="D41" s="47"/>
      <c r="E41" s="16"/>
      <c r="F41" s="10"/>
      <c r="G41" s="11"/>
      <c r="H41" s="11"/>
      <c r="I41" s="12"/>
    </row>
    <row r="42" spans="1:9" ht="21.75" customHeight="1">
      <c r="A42" s="51"/>
      <c r="B42" s="47"/>
      <c r="C42" s="47"/>
      <c r="D42" s="47"/>
      <c r="E42" s="16"/>
      <c r="F42" s="10"/>
      <c r="G42" s="11"/>
      <c r="H42" s="11"/>
      <c r="I42" s="12"/>
    </row>
    <row r="43" spans="1:9" ht="21.75" customHeight="1">
      <c r="A43" s="51"/>
      <c r="B43" s="47"/>
      <c r="C43" s="47"/>
      <c r="D43" s="47"/>
      <c r="E43" s="16"/>
      <c r="F43" s="10"/>
      <c r="G43" s="11"/>
      <c r="H43" s="11"/>
      <c r="I43" s="12"/>
    </row>
    <row r="44" spans="1:9" ht="21.75" customHeight="1">
      <c r="A44" s="51"/>
      <c r="B44" s="47"/>
      <c r="C44" s="47"/>
      <c r="D44" s="47"/>
      <c r="E44" s="16"/>
      <c r="F44" s="10"/>
      <c r="G44" s="11"/>
      <c r="H44" s="11"/>
      <c r="I44" s="12"/>
    </row>
    <row r="45" spans="1:9" ht="21.75" customHeight="1">
      <c r="A45" s="51"/>
      <c r="B45" s="47"/>
      <c r="C45" s="47"/>
      <c r="D45" s="47"/>
      <c r="E45" s="16"/>
      <c r="F45" s="10"/>
      <c r="G45" s="11"/>
      <c r="H45" s="11"/>
      <c r="I45" s="12"/>
    </row>
    <row r="46" spans="1:9" ht="21.75" customHeight="1">
      <c r="A46" s="51"/>
      <c r="B46" s="47"/>
      <c r="C46" s="47"/>
      <c r="D46" s="47"/>
      <c r="E46" s="16"/>
      <c r="F46" s="10"/>
      <c r="G46" s="11"/>
      <c r="H46" s="11"/>
      <c r="I46" s="12"/>
    </row>
    <row r="47" spans="1:9" ht="21.75" customHeight="1">
      <c r="A47" s="51"/>
      <c r="B47" s="47"/>
      <c r="C47" s="47"/>
      <c r="D47" s="47"/>
      <c r="E47" s="16"/>
      <c r="F47" s="10"/>
      <c r="G47" s="11"/>
      <c r="H47" s="11"/>
      <c r="I47" s="12"/>
    </row>
    <row r="48" spans="1:9" ht="21.75" customHeight="1">
      <c r="A48" s="51"/>
      <c r="B48" s="47"/>
      <c r="C48" s="47"/>
      <c r="D48" s="47"/>
      <c r="E48" s="16"/>
      <c r="F48" s="10"/>
      <c r="G48" s="11"/>
      <c r="H48" s="11"/>
      <c r="I48" s="12"/>
    </row>
    <row r="49" spans="1:9" ht="21.75" customHeight="1">
      <c r="A49" s="51"/>
      <c r="B49" s="47"/>
      <c r="C49" s="47"/>
      <c r="D49" s="47"/>
      <c r="E49" s="16"/>
      <c r="F49" s="10"/>
      <c r="G49" s="11"/>
      <c r="H49" s="11"/>
      <c r="I49" s="12"/>
    </row>
    <row r="50" spans="1:9" ht="21.75" customHeight="1">
      <c r="A50" s="51"/>
      <c r="B50" s="47"/>
      <c r="C50" s="47"/>
      <c r="D50" s="47"/>
      <c r="E50" s="16"/>
      <c r="F50" s="10"/>
      <c r="G50" s="11"/>
      <c r="H50" s="11"/>
      <c r="I50" s="12"/>
    </row>
    <row r="51" spans="1:9" ht="21.75" customHeight="1">
      <c r="A51" s="51"/>
      <c r="B51" s="47"/>
      <c r="C51" s="47"/>
      <c r="D51" s="47"/>
      <c r="E51" s="16"/>
      <c r="F51" s="10"/>
      <c r="G51" s="11"/>
      <c r="H51" s="11"/>
      <c r="I51" s="12"/>
    </row>
    <row r="52" spans="1:9" ht="21.75" customHeight="1">
      <c r="A52" s="51"/>
      <c r="B52" s="47"/>
      <c r="C52" s="47"/>
      <c r="D52" s="47"/>
      <c r="E52" s="16"/>
      <c r="F52" s="10"/>
      <c r="G52" s="11"/>
      <c r="H52" s="11"/>
      <c r="I52" s="12"/>
    </row>
    <row r="53" spans="1:9" ht="21.75" customHeight="1">
      <c r="A53" s="51"/>
      <c r="B53" s="47"/>
      <c r="C53" s="47"/>
      <c r="D53" s="47"/>
      <c r="E53" s="16"/>
      <c r="F53" s="10"/>
      <c r="G53" s="11"/>
      <c r="H53" s="11"/>
      <c r="I53" s="12"/>
    </row>
    <row r="54" spans="1:9" ht="21.75" customHeight="1">
      <c r="A54" s="51"/>
      <c r="B54" s="47"/>
      <c r="C54" s="47"/>
      <c r="D54" s="47"/>
      <c r="E54" s="16"/>
      <c r="F54" s="10"/>
      <c r="G54" s="11"/>
      <c r="H54" s="11"/>
      <c r="I54" s="12"/>
    </row>
    <row r="55" spans="1:9" ht="21.75" customHeight="1">
      <c r="A55" s="51"/>
      <c r="B55" s="47"/>
      <c r="C55" s="47"/>
      <c r="D55" s="47"/>
      <c r="E55" s="16"/>
      <c r="F55" s="10"/>
      <c r="G55" s="11"/>
      <c r="H55" s="11"/>
      <c r="I55" s="12"/>
    </row>
    <row r="56" spans="1:9" ht="21.75" customHeight="1">
      <c r="A56" s="51"/>
      <c r="B56" s="47"/>
      <c r="C56" s="47"/>
      <c r="D56" s="47"/>
      <c r="E56" s="16"/>
      <c r="F56" s="10"/>
      <c r="G56" s="11"/>
      <c r="H56" s="11"/>
      <c r="I56" s="12"/>
    </row>
    <row r="57" spans="1:9" ht="21.75" customHeight="1">
      <c r="A57" s="51"/>
      <c r="B57" s="47"/>
      <c r="C57" s="47"/>
      <c r="D57" s="47"/>
      <c r="E57" s="16"/>
      <c r="F57" s="10"/>
      <c r="G57" s="11"/>
      <c r="H57" s="11"/>
      <c r="I57" s="12"/>
    </row>
    <row r="58" spans="1:9" ht="21.75" customHeight="1">
      <c r="A58" s="51"/>
      <c r="B58" s="47"/>
      <c r="C58" s="47"/>
      <c r="D58" s="47"/>
      <c r="E58" s="16"/>
      <c r="F58" s="10"/>
      <c r="G58" s="11"/>
      <c r="H58" s="11"/>
      <c r="I58" s="12"/>
    </row>
    <row r="59" spans="1:9" ht="21.75" customHeight="1">
      <c r="A59" s="51"/>
      <c r="B59" s="47"/>
      <c r="C59" s="47"/>
      <c r="D59" s="47"/>
      <c r="E59" s="16"/>
      <c r="F59" s="10"/>
      <c r="G59" s="11"/>
      <c r="H59" s="11"/>
      <c r="I59" s="12"/>
    </row>
    <row r="60" spans="1:9" ht="21.75" customHeight="1">
      <c r="A60" s="51"/>
      <c r="B60" s="47"/>
      <c r="C60" s="47"/>
      <c r="D60" s="47"/>
      <c r="E60" s="16"/>
      <c r="F60" s="10"/>
      <c r="G60" s="11"/>
      <c r="H60" s="11"/>
      <c r="I60" s="12"/>
    </row>
    <row r="61" spans="1:9" ht="21.75" customHeight="1">
      <c r="A61" s="51"/>
      <c r="B61" s="47"/>
      <c r="C61" s="47"/>
      <c r="D61" s="47"/>
      <c r="E61" s="16"/>
      <c r="F61" s="10"/>
      <c r="G61" s="11"/>
      <c r="H61" s="11"/>
      <c r="I61" s="12"/>
    </row>
  </sheetData>
  <mergeCells count="20">
    <mergeCell ref="A24:A27"/>
    <mergeCell ref="A1:F1"/>
    <mergeCell ref="A40:D61"/>
    <mergeCell ref="B29:E29"/>
    <mergeCell ref="C30:E30"/>
    <mergeCell ref="C31:E31"/>
    <mergeCell ref="C6:C7"/>
    <mergeCell ref="E6:E7"/>
    <mergeCell ref="A6:A7"/>
    <mergeCell ref="B6:B7"/>
    <mergeCell ref="A8:A17"/>
    <mergeCell ref="A18:A19"/>
    <mergeCell ref="A20:A21"/>
    <mergeCell ref="F6:F7"/>
    <mergeCell ref="F8:F27"/>
    <mergeCell ref="B2:C2"/>
    <mergeCell ref="B3:C3"/>
    <mergeCell ref="B4:C4"/>
    <mergeCell ref="B5:C5"/>
    <mergeCell ref="A22:A23"/>
  </mergeCells>
  <conditionalFormatting sqref="G1:G5 G28:G61">
    <cfRule type="containsText" dxfId="2" priority="3" operator="containsText" text="Check">
      <formula>NOT(ISERROR(SEARCH(("Check"),(J1))))</formula>
    </cfRule>
  </conditionalFormatting>
  <conditionalFormatting sqref="E6:E7">
    <cfRule type="containsText" dxfId="1" priority="4" operator="containsText" text="Check">
      <formula>NOT(ISERROR(SEARCH(("Check"),(G6))))</formula>
    </cfRule>
  </conditionalFormatting>
  <conditionalFormatting sqref="E8:E27">
    <cfRule type="containsText" dxfId="0" priority="1" operator="containsText" text="Check">
      <formula>NOT(ISERROR(SEARCH(("Check"),(G8))))</formula>
    </cfRule>
  </conditionalFormatting>
  <dataValidations count="1">
    <dataValidation type="list" allowBlank="1" showInputMessage="1" showErrorMessage="1" sqref="D8:D27" xr:uid="{032ADEBF-5105-443A-B3FE-50163C2BE519}">
      <formula1>"Chưa đạt,Hoàn thành,Tốt"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"/>
  <sheetViews>
    <sheetView workbookViewId="0"/>
  </sheetViews>
  <sheetFormatPr defaultColWidth="12.5703125" defaultRowHeight="15" customHeight="1"/>
  <cols>
    <col min="1" max="1" width="31.42578125" customWidth="1"/>
  </cols>
  <sheetData>
    <row r="1" spans="1:3">
      <c r="A1" s="17" t="s">
        <v>42</v>
      </c>
      <c r="B1" s="17" t="s">
        <v>43</v>
      </c>
      <c r="C1" s="17" t="s">
        <v>44</v>
      </c>
    </row>
    <row r="2" spans="1:3">
      <c r="A2" s="18" t="s">
        <v>45</v>
      </c>
      <c r="B2" s="18">
        <v>2.5</v>
      </c>
      <c r="C2" s="19">
        <f t="shared" ref="C2:C6" si="0">B2/5</f>
        <v>0.5</v>
      </c>
    </row>
    <row r="3" spans="1:3">
      <c r="A3" s="20" t="s">
        <v>46</v>
      </c>
      <c r="B3" s="20">
        <v>1</v>
      </c>
      <c r="C3" s="19">
        <f t="shared" si="0"/>
        <v>0.2</v>
      </c>
    </row>
    <row r="4" spans="1:3">
      <c r="A4" s="20" t="s">
        <v>47</v>
      </c>
      <c r="B4" s="20">
        <v>0.5</v>
      </c>
      <c r="C4" s="19">
        <f t="shared" si="0"/>
        <v>0.1</v>
      </c>
    </row>
    <row r="5" spans="1:3">
      <c r="A5" s="20" t="s">
        <v>48</v>
      </c>
      <c r="B5" s="20">
        <v>0.5</v>
      </c>
      <c r="C5" s="19">
        <f t="shared" si="0"/>
        <v>0.1</v>
      </c>
    </row>
    <row r="6" spans="1:3">
      <c r="A6" s="18" t="s">
        <v>49</v>
      </c>
      <c r="B6" s="18">
        <v>0.5</v>
      </c>
      <c r="C6" s="21">
        <f t="shared" si="0"/>
        <v>0.1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Phú Nguyễn Trường</cp:lastModifiedBy>
  <cp:revision/>
  <dcterms:created xsi:type="dcterms:W3CDTF">2024-06-20T03:10:23Z</dcterms:created>
  <dcterms:modified xsi:type="dcterms:W3CDTF">2024-12-06T05:24:32Z</dcterms:modified>
  <cp:category/>
  <cp:contentStatus/>
</cp:coreProperties>
</file>